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tabRatio="710" activeTab="2"/>
  </bookViews>
  <sheets>
    <sheet name="密封试验参数汇总表AF070 " sheetId="2" r:id="rId1"/>
    <sheet name="密封试验参数汇总表AF245" sheetId="5" r:id="rId2"/>
    <sheet name="密封试验参数汇总表AF240 " sheetId="4" r:id="rId3"/>
  </sheets>
  <definedNames>
    <definedName name="_xlnm._FilterDatabase" localSheetId="1" hidden="1">密封试验参数汇总表AF245!$A$5:$O$9</definedName>
    <definedName name="_xlnm._FilterDatabase" localSheetId="2" hidden="1">'密封试验参数汇总表AF240 '!$A$5:$N$8</definedName>
    <definedName name="_xlnm._FilterDatabase" localSheetId="0" hidden="1">'密封试验参数汇总表AF070 '!#REF!</definedName>
    <definedName name="_xlnm.Print_Area" localSheetId="0">'密封试验参数汇总表AF070 '!$A$2:$N$17</definedName>
    <definedName name="_xlnm.Print_Area" localSheetId="2">'密封试验参数汇总表AF240 '!$A$2:$N$8</definedName>
    <definedName name="_xlnm.Print_Area" localSheetId="1">密封试验参数汇总表AF245!$A$2:$N$9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<sst xmlns="http://schemas.openxmlformats.org/spreadsheetml/2006/main" count="179" uniqueCount="58">
  <si>
    <r>
      <rPr>
        <b/>
        <sz val="36"/>
        <rFont val="Arial"/>
        <charset val="134"/>
      </rPr>
      <t>AF070</t>
    </r>
    <r>
      <rPr>
        <b/>
        <sz val="36"/>
        <rFont val="微软雅黑"/>
        <charset val="134"/>
      </rPr>
      <t>密封试验参数汇总表</t>
    </r>
  </si>
  <si>
    <r>
      <rPr>
        <b/>
        <sz val="14"/>
        <rFont val="微软雅黑"/>
        <charset val="134"/>
      </rPr>
      <t>车间：</t>
    </r>
  </si>
  <si>
    <t>PFEP</t>
  </si>
  <si>
    <r>
      <rPr>
        <b/>
        <sz val="14"/>
        <rFont val="微软雅黑"/>
        <charset val="134"/>
      </rPr>
      <t>生产线：</t>
    </r>
  </si>
  <si>
    <t>ZK</t>
  </si>
  <si>
    <r>
      <rPr>
        <b/>
        <sz val="14"/>
        <rFont val="微软雅黑"/>
        <charset val="134"/>
      </rPr>
      <t>技术负责人：</t>
    </r>
  </si>
  <si>
    <r>
      <rPr>
        <sz val="14"/>
        <rFont val="微软雅黑"/>
        <charset val="134"/>
      </rPr>
      <t>王勇</t>
    </r>
  </si>
  <si>
    <r>
      <rPr>
        <b/>
        <sz val="14"/>
        <color theme="1"/>
        <rFont val="微软雅黑"/>
        <charset val="134"/>
      </rPr>
      <t>汇总时间：</t>
    </r>
  </si>
  <si>
    <t>2026-5-15</t>
  </si>
  <si>
    <r>
      <rPr>
        <b/>
        <sz val="14"/>
        <rFont val="微软雅黑"/>
        <charset val="134"/>
      </rPr>
      <t>工位名称</t>
    </r>
  </si>
  <si>
    <r>
      <rPr>
        <b/>
        <sz val="14"/>
        <rFont val="微软雅黑"/>
        <charset val="134"/>
      </rPr>
      <t>设备厂家</t>
    </r>
  </si>
  <si>
    <r>
      <rPr>
        <b/>
        <sz val="14"/>
        <rFont val="微软雅黑"/>
        <charset val="134"/>
      </rPr>
      <t>密封设备
厂家</t>
    </r>
  </si>
  <si>
    <r>
      <rPr>
        <b/>
        <sz val="14"/>
        <rFont val="微软雅黑"/>
        <charset val="134"/>
      </rPr>
      <t>检测内容</t>
    </r>
  </si>
  <si>
    <r>
      <rPr>
        <b/>
        <sz val="14"/>
        <rFont val="微软雅黑"/>
        <charset val="134"/>
      </rPr>
      <t>型号</t>
    </r>
  </si>
  <si>
    <r>
      <rPr>
        <b/>
        <sz val="14"/>
        <rFont val="微软雅黑"/>
        <charset val="134"/>
      </rPr>
      <t>许可泄漏率</t>
    </r>
    <r>
      <rPr>
        <b/>
        <sz val="14"/>
        <rFont val="Arial"/>
        <charset val="134"/>
      </rPr>
      <t>cm</t>
    </r>
    <r>
      <rPr>
        <b/>
        <vertAlign val="superscript"/>
        <sz val="14"/>
        <rFont val="Arial"/>
        <charset val="134"/>
      </rPr>
      <t>3</t>
    </r>
    <r>
      <rPr>
        <b/>
        <sz val="14"/>
        <rFont val="Arial"/>
        <charset val="134"/>
      </rPr>
      <t>/min</t>
    </r>
  </si>
  <si>
    <r>
      <rPr>
        <b/>
        <sz val="14"/>
        <rFont val="微软雅黑"/>
        <charset val="134"/>
      </rPr>
      <t xml:space="preserve">预充气或
</t>
    </r>
    <r>
      <rPr>
        <b/>
        <sz val="14"/>
        <rFont val="Arial"/>
        <charset val="134"/>
      </rPr>
      <t>VEX</t>
    </r>
    <r>
      <rPr>
        <b/>
        <sz val="14"/>
        <rFont val="微软雅黑"/>
        <charset val="134"/>
      </rPr>
      <t>充气时间
（</t>
    </r>
    <r>
      <rPr>
        <b/>
        <sz val="14"/>
        <rFont val="Arial"/>
        <charset val="134"/>
      </rPr>
      <t>S</t>
    </r>
    <r>
      <rPr>
        <b/>
        <sz val="14"/>
        <rFont val="微软雅黑"/>
        <charset val="134"/>
      </rPr>
      <t>）</t>
    </r>
  </si>
  <si>
    <r>
      <rPr>
        <b/>
        <sz val="14"/>
        <rFont val="微软雅黑"/>
        <charset val="134"/>
      </rPr>
      <t xml:space="preserve">（工件）
充气时间
</t>
    </r>
    <r>
      <rPr>
        <b/>
        <sz val="14"/>
        <rFont val="Arial"/>
        <charset val="134"/>
      </rPr>
      <t xml:space="preserve"> (S)</t>
    </r>
  </si>
  <si>
    <t>平衡时间 
（S）</t>
  </si>
  <si>
    <t>测量时间
（S）</t>
  </si>
  <si>
    <t>排气时间
（S）</t>
  </si>
  <si>
    <r>
      <rPr>
        <b/>
        <sz val="14"/>
        <rFont val="微软雅黑"/>
        <charset val="134"/>
      </rPr>
      <t>检测压力</t>
    </r>
    <r>
      <rPr>
        <b/>
        <sz val="14"/>
        <rFont val="Arial"/>
        <charset val="134"/>
      </rPr>
      <t>(bar)</t>
    </r>
  </si>
  <si>
    <t>偏置
*参数可调</t>
  </si>
  <si>
    <r>
      <rPr>
        <b/>
        <sz val="14"/>
        <rFont val="微软雅黑"/>
        <charset val="134"/>
      </rPr>
      <t>容积系数</t>
    </r>
    <r>
      <rPr>
        <b/>
        <sz val="14"/>
        <rFont val="Arial"/>
        <charset val="134"/>
      </rPr>
      <t>(vt)                  *</t>
    </r>
    <r>
      <rPr>
        <b/>
        <sz val="14"/>
        <rFont val="微软雅黑"/>
        <charset val="134"/>
      </rPr>
      <t>参数可调</t>
    </r>
  </si>
  <si>
    <t>AF070</t>
  </si>
  <si>
    <t>ELWEMA</t>
  </si>
  <si>
    <t>FROEHLICH</t>
  </si>
  <si>
    <r>
      <rPr>
        <sz val="16"/>
        <rFont val="微软雅黑"/>
        <charset val="134"/>
      </rPr>
      <t>水道</t>
    </r>
  </si>
  <si>
    <t>GEN3</t>
  </si>
  <si>
    <t>-4~10</t>
  </si>
  <si>
    <t>无</t>
  </si>
  <si>
    <r>
      <rPr>
        <sz val="16"/>
        <rFont val="微软雅黑"/>
        <charset val="134"/>
      </rPr>
      <t>油道</t>
    </r>
  </si>
  <si>
    <t>-3~10</t>
  </si>
  <si>
    <r>
      <rPr>
        <sz val="16"/>
        <rFont val="微软雅黑"/>
        <charset val="134"/>
      </rPr>
      <t>空腔</t>
    </r>
  </si>
  <si>
    <t>BZ</t>
  </si>
  <si>
    <t>EVO5 MQB</t>
  </si>
  <si>
    <t>EVO5 MLB</t>
  </si>
  <si>
    <r>
      <rPr>
        <b/>
        <sz val="36"/>
        <rFont val="Arial"/>
        <charset val="134"/>
      </rPr>
      <t>AF245</t>
    </r>
    <r>
      <rPr>
        <b/>
        <sz val="36"/>
        <rFont val="微软雅黑"/>
        <charset val="134"/>
      </rPr>
      <t>密封试验参数汇总表</t>
    </r>
  </si>
  <si>
    <t>车间：</t>
  </si>
  <si>
    <r>
      <rPr>
        <b/>
        <sz val="14"/>
        <rFont val="微软雅黑"/>
        <charset val="134"/>
      </rPr>
      <t>平衡时间</t>
    </r>
    <r>
      <rPr>
        <b/>
        <sz val="14"/>
        <rFont val="Arial"/>
        <charset val="134"/>
      </rPr>
      <t xml:space="preserve"> 
</t>
    </r>
    <r>
      <rPr>
        <b/>
        <sz val="14"/>
        <rFont val="微软雅黑"/>
        <charset val="134"/>
      </rPr>
      <t>（</t>
    </r>
    <r>
      <rPr>
        <b/>
        <sz val="14"/>
        <rFont val="Arial"/>
        <charset val="134"/>
      </rPr>
      <t>S</t>
    </r>
    <r>
      <rPr>
        <b/>
        <sz val="14"/>
        <rFont val="微软雅黑"/>
        <charset val="134"/>
      </rPr>
      <t>）</t>
    </r>
  </si>
  <si>
    <r>
      <rPr>
        <b/>
        <sz val="14"/>
        <rFont val="微软雅黑"/>
        <charset val="134"/>
      </rPr>
      <t>测量时间
（</t>
    </r>
    <r>
      <rPr>
        <b/>
        <sz val="14"/>
        <rFont val="Arial"/>
        <charset val="134"/>
      </rPr>
      <t>S</t>
    </r>
    <r>
      <rPr>
        <b/>
        <sz val="14"/>
        <rFont val="微软雅黑"/>
        <charset val="134"/>
      </rPr>
      <t>）</t>
    </r>
  </si>
  <si>
    <r>
      <rPr>
        <b/>
        <sz val="14"/>
        <rFont val="微软雅黑"/>
        <charset val="134"/>
      </rPr>
      <t>排气时间
（</t>
    </r>
    <r>
      <rPr>
        <b/>
        <sz val="14"/>
        <rFont val="Arial"/>
        <charset val="134"/>
      </rPr>
      <t>S</t>
    </r>
    <r>
      <rPr>
        <b/>
        <sz val="14"/>
        <rFont val="微软雅黑"/>
        <charset val="134"/>
      </rPr>
      <t>）</t>
    </r>
  </si>
  <si>
    <t>偏置</t>
  </si>
  <si>
    <t>AF245</t>
  </si>
  <si>
    <t>KIENER</t>
  </si>
  <si>
    <t xml:space="preserve">EVO5 </t>
  </si>
  <si>
    <t>油道1</t>
  </si>
  <si>
    <t>-5~10</t>
  </si>
  <si>
    <t>油道2</t>
  </si>
  <si>
    <t>油道3</t>
  </si>
  <si>
    <t>油道4</t>
  </si>
  <si>
    <r>
      <rPr>
        <b/>
        <sz val="36"/>
        <rFont val="Arial"/>
        <charset val="134"/>
      </rPr>
      <t>AF240</t>
    </r>
    <r>
      <rPr>
        <b/>
        <sz val="36"/>
        <rFont val="微软雅黑"/>
        <charset val="134"/>
      </rPr>
      <t>密封试验参数汇总表</t>
    </r>
  </si>
  <si>
    <t>AF240</t>
  </si>
  <si>
    <t>油道</t>
  </si>
  <si>
    <t>GEN3/EVO5</t>
  </si>
  <si>
    <t>水道
（大闷盖）</t>
  </si>
  <si>
    <r>
      <rPr>
        <sz val="16"/>
        <rFont val="Arial"/>
        <charset val="134"/>
      </rPr>
      <t xml:space="preserve">-3~10
</t>
    </r>
    <r>
      <rPr>
        <sz val="16"/>
        <rFont val="微软雅黑"/>
        <charset val="134"/>
      </rPr>
      <t>（</t>
    </r>
    <r>
      <rPr>
        <sz val="16"/>
        <rFont val="Arial"/>
        <charset val="134"/>
      </rPr>
      <t>-3~</t>
    </r>
    <r>
      <rPr>
        <sz val="16"/>
        <rFont val="宋体"/>
        <charset val="134"/>
      </rPr>
      <t>3</t>
    </r>
    <r>
      <rPr>
        <sz val="16"/>
        <rFont val="微软雅黑"/>
        <charset val="134"/>
      </rPr>
      <t>）</t>
    </r>
  </si>
  <si>
    <t>水道
（小闷盖）</t>
  </si>
  <si>
    <r>
      <rPr>
        <sz val="16"/>
        <rFont val="Arial"/>
        <charset val="134"/>
      </rPr>
      <t xml:space="preserve">-3~10
</t>
    </r>
    <r>
      <rPr>
        <sz val="16"/>
        <rFont val="微软雅黑"/>
        <charset val="134"/>
      </rPr>
      <t>（</t>
    </r>
    <r>
      <rPr>
        <sz val="16"/>
        <rFont val="Arial"/>
        <charset val="134"/>
      </rPr>
      <t>-3~</t>
    </r>
    <r>
      <rPr>
        <sz val="16"/>
        <rFont val="宋体"/>
        <charset val="134"/>
      </rPr>
      <t>2</t>
    </r>
    <r>
      <rPr>
        <sz val="16"/>
        <rFont val="微软雅黑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</si>
</sst>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_);[Red]\(0\)"/>
    <numFmt numFmtId="178" formatCode="0.00_);[Red]\(0.00\)"/>
    <numFmt numFmtId="179" formatCode="0.000_);[Red]\(0.000\)"/>
  </numFmts>
  <fonts count="39">
    <font>
      <sz val="11"/>
      <color theme="1"/>
      <name val="Arial"/>
      <charset val="134"/>
    </font>
    <font>
      <b/>
      <sz val="36"/>
      <name val="Arial"/>
      <charset val="134"/>
    </font>
    <font>
      <b/>
      <sz val="14"/>
      <name val="微软雅黑"/>
      <charset val="134"/>
    </font>
    <font>
      <sz val="14"/>
      <name val="Arial"/>
      <charset val="134"/>
    </font>
    <font>
      <b/>
      <sz val="14"/>
      <name val="Arial"/>
      <charset val="134"/>
    </font>
    <font>
      <b/>
      <sz val="14"/>
      <color theme="1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b/>
      <sz val="14"/>
      <name val="宋体"/>
      <charset val="134"/>
    </font>
    <font>
      <sz val="16"/>
      <name val="Arial"/>
      <charset val="134"/>
    </font>
    <font>
      <sz val="16"/>
      <name val="宋体"/>
      <charset val="134"/>
    </font>
    <font>
      <sz val="16"/>
      <color theme="1"/>
      <name val="Arial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微软雅黑"/>
      <charset val="134"/>
    </font>
    <font>
      <b/>
      <sz val="36"/>
      <name val="微软雅黑"/>
      <charset val="134"/>
    </font>
    <font>
      <sz val="14"/>
      <name val="微软雅黑"/>
      <charset val="134"/>
    </font>
    <font>
      <sz val="16"/>
      <name val="微软雅黑"/>
      <charset val="134"/>
    </font>
    <font>
      <sz val="16"/>
      <name val="宋体"/>
      <charset val="134"/>
    </font>
    <font>
      <b/>
      <vertAlign val="superscript"/>
      <sz val="14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1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6" applyNumberFormat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5" borderId="16" applyNumberFormat="0" applyAlignment="0" applyProtection="0">
      <alignment vertical="center"/>
    </xf>
    <xf numFmtId="0" fontId="25" fillId="6" borderId="18" applyNumberFormat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NumberFormat="1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right"/>
    </xf>
    <xf numFmtId="49" fontId="3" fillId="0" borderId="1" xfId="0" applyNumberFormat="1" applyFont="1" applyBorder="1" applyAlignment="1">
      <alignment horizontal="center" wrapText="1"/>
    </xf>
    <xf numFmtId="0" fontId="3" fillId="0" borderId="0" xfId="0" applyNumberFormat="1" applyFont="1" applyBorder="1" applyAlignment="1">
      <alignment horizontal="center" wrapText="1"/>
    </xf>
    <xf numFmtId="0" fontId="4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5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 wrapText="1"/>
    </xf>
    <xf numFmtId="177" fontId="9" fillId="0" borderId="0" xfId="0" applyNumberFormat="1" applyFont="1" applyBorder="1" applyAlignment="1">
      <alignment horizontal="center" vertical="center"/>
    </xf>
    <xf numFmtId="176" fontId="9" fillId="0" borderId="0" xfId="0" applyNumberFormat="1" applyFont="1" applyBorder="1" applyAlignment="1">
      <alignment horizontal="center" vertical="center"/>
    </xf>
    <xf numFmtId="176" fontId="11" fillId="0" borderId="0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12" fillId="0" borderId="0" xfId="0" applyFont="1">
      <alignment vertical="center"/>
    </xf>
    <xf numFmtId="49" fontId="9" fillId="0" borderId="6" xfId="0" applyNumberFormat="1" applyFont="1" applyBorder="1" applyAlignment="1">
      <alignment horizontal="center" vertical="center" wrapText="1"/>
    </xf>
    <xf numFmtId="177" fontId="9" fillId="0" borderId="7" xfId="0" applyNumberFormat="1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176" fontId="9" fillId="0" borderId="10" xfId="0" applyNumberFormat="1" applyFont="1" applyBorder="1" applyAlignment="1">
      <alignment horizontal="center" vertical="center"/>
    </xf>
    <xf numFmtId="176" fontId="11" fillId="0" borderId="10" xfId="0" applyNumberFormat="1" applyFont="1" applyBorder="1" applyAlignment="1">
      <alignment horizontal="center" vertical="center"/>
    </xf>
    <xf numFmtId="177" fontId="9" fillId="0" borderId="10" xfId="0" applyNumberFormat="1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Border="1" applyAlignment="1">
      <alignment horizontal="center" wrapText="1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49" fontId="6" fillId="0" borderId="0" xfId="0" applyNumberFormat="1" applyFont="1" applyAlignment="1">
      <alignment horizontal="center"/>
    </xf>
    <xf numFmtId="178" fontId="9" fillId="0" borderId="2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0" fontId="0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O17"/>
  <sheetViews>
    <sheetView zoomScale="55" zoomScaleNormal="55" workbookViewId="0">
      <pane ySplit="5" topLeftCell="A9" activePane="bottomLeft" state="frozen"/>
      <selection/>
      <selection pane="bottomLeft" activeCell="O11" sqref="O11"/>
    </sheetView>
  </sheetViews>
  <sheetFormatPr defaultColWidth="9" defaultRowHeight="14"/>
  <cols>
    <col min="1" max="6" width="18.625" style="2" customWidth="1"/>
    <col min="7" max="8" width="18.625" style="3" customWidth="1"/>
    <col min="9" max="14" width="18.625" style="2" customWidth="1"/>
    <col min="15" max="16384" width="9" style="2"/>
  </cols>
  <sheetData>
    <row r="2" ht="60" customHeight="1" spans="1:1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30" customHeight="1" spans="1:15">
      <c r="A3" s="47" t="s">
        <v>1</v>
      </c>
      <c r="B3" s="6" t="s">
        <v>2</v>
      </c>
      <c r="C3" s="48"/>
      <c r="D3" s="47" t="s">
        <v>3</v>
      </c>
      <c r="E3" s="6" t="s">
        <v>4</v>
      </c>
      <c r="G3" s="49" t="s">
        <v>5</v>
      </c>
      <c r="H3" s="10" t="s">
        <v>6</v>
      </c>
      <c r="I3" s="49"/>
      <c r="J3" s="50" t="s">
        <v>7</v>
      </c>
      <c r="K3" s="10" t="s">
        <v>8</v>
      </c>
      <c r="L3" s="51"/>
      <c r="M3" s="51"/>
    </row>
    <row r="4" ht="30" customHeight="1" spans="1:15">
      <c r="A4" s="13"/>
      <c r="B4" s="13"/>
      <c r="C4" s="13"/>
      <c r="D4" s="13"/>
      <c r="E4" s="13"/>
      <c r="F4" s="13"/>
      <c r="G4" s="13"/>
      <c r="H4" s="13"/>
      <c r="I4" s="13"/>
      <c r="J4" s="14"/>
      <c r="K4" s="15"/>
      <c r="L4" s="15"/>
      <c r="M4" s="15"/>
    </row>
    <row r="5" ht="60" customHeight="1" spans="1:15">
      <c r="A5" s="16" t="s">
        <v>9</v>
      </c>
      <c r="B5" s="16" t="s">
        <v>10</v>
      </c>
      <c r="C5" s="16" t="s">
        <v>11</v>
      </c>
      <c r="D5" s="16" t="s">
        <v>12</v>
      </c>
      <c r="E5" s="16" t="s">
        <v>13</v>
      </c>
      <c r="F5" s="16" t="s">
        <v>14</v>
      </c>
      <c r="G5" s="16" t="s">
        <v>15</v>
      </c>
      <c r="H5" s="16" t="s">
        <v>16</v>
      </c>
      <c r="I5" s="16" t="s">
        <v>17</v>
      </c>
      <c r="J5" s="16" t="s">
        <v>18</v>
      </c>
      <c r="K5" s="16" t="s">
        <v>19</v>
      </c>
      <c r="L5" s="16" t="s">
        <v>20</v>
      </c>
      <c r="M5" s="17" t="s">
        <v>21</v>
      </c>
      <c r="N5" s="16" t="s">
        <v>22</v>
      </c>
    </row>
    <row r="6" ht="60" customHeight="1" spans="1:15">
      <c r="A6" s="18" t="s">
        <v>23</v>
      </c>
      <c r="B6" s="19" t="s">
        <v>24</v>
      </c>
      <c r="C6" s="19" t="s">
        <v>25</v>
      </c>
      <c r="D6" s="18" t="s">
        <v>26</v>
      </c>
      <c r="E6" s="18" t="s">
        <v>27</v>
      </c>
      <c r="F6" s="19" t="s">
        <v>28</v>
      </c>
      <c r="G6" s="52">
        <v>8</v>
      </c>
      <c r="H6" s="52">
        <v>10</v>
      </c>
      <c r="I6" s="52" t="s">
        <v>29</v>
      </c>
      <c r="J6" s="52">
        <v>4</v>
      </c>
      <c r="K6" s="52">
        <v>0</v>
      </c>
      <c r="L6" s="52">
        <v>2</v>
      </c>
      <c r="M6" s="53">
        <v>0</v>
      </c>
      <c r="N6" s="54">
        <v>1.4</v>
      </c>
      <c r="O6" s="55"/>
    </row>
    <row r="7" ht="60" customHeight="1" spans="1:15">
      <c r="A7" s="18" t="s">
        <v>23</v>
      </c>
      <c r="B7" s="19" t="s">
        <v>24</v>
      </c>
      <c r="C7" s="19" t="s">
        <v>25</v>
      </c>
      <c r="D7" s="19" t="s">
        <v>30</v>
      </c>
      <c r="E7" s="18" t="s">
        <v>27</v>
      </c>
      <c r="F7" s="19" t="s">
        <v>31</v>
      </c>
      <c r="G7" s="52">
        <v>2</v>
      </c>
      <c r="H7" s="52">
        <v>4</v>
      </c>
      <c r="I7" s="52">
        <v>5</v>
      </c>
      <c r="J7" s="52">
        <v>3</v>
      </c>
      <c r="K7" s="52">
        <v>0</v>
      </c>
      <c r="L7" s="52">
        <v>4</v>
      </c>
      <c r="M7" s="53">
        <v>0.5</v>
      </c>
      <c r="N7" s="54">
        <v>157</v>
      </c>
      <c r="O7" s="55"/>
    </row>
    <row r="8" ht="60" customHeight="1" spans="1:15">
      <c r="A8" s="18" t="s">
        <v>23</v>
      </c>
      <c r="B8" s="19" t="s">
        <v>24</v>
      </c>
      <c r="C8" s="19" t="s">
        <v>25</v>
      </c>
      <c r="D8" s="18" t="s">
        <v>32</v>
      </c>
      <c r="E8" s="18" t="s">
        <v>27</v>
      </c>
      <c r="F8" s="19" t="s">
        <v>31</v>
      </c>
      <c r="G8" s="52">
        <v>2</v>
      </c>
      <c r="H8" s="52">
        <v>3</v>
      </c>
      <c r="I8" s="52">
        <v>6</v>
      </c>
      <c r="J8" s="52">
        <v>3</v>
      </c>
      <c r="K8" s="52">
        <v>0</v>
      </c>
      <c r="L8" s="52">
        <v>0.5</v>
      </c>
      <c r="M8" s="53">
        <v>-0.4</v>
      </c>
      <c r="N8" s="54">
        <v>161</v>
      </c>
      <c r="O8" s="55"/>
    </row>
    <row r="9" ht="60" customHeight="1" spans="1:15">
      <c r="A9" s="18" t="s">
        <v>23</v>
      </c>
      <c r="B9" s="19" t="s">
        <v>24</v>
      </c>
      <c r="C9" s="19" t="s">
        <v>25</v>
      </c>
      <c r="D9" s="18" t="s">
        <v>26</v>
      </c>
      <c r="E9" s="18" t="s">
        <v>33</v>
      </c>
      <c r="F9" s="19" t="s">
        <v>31</v>
      </c>
      <c r="G9" s="52">
        <v>8</v>
      </c>
      <c r="H9" s="52">
        <v>10</v>
      </c>
      <c r="I9" s="52" t="s">
        <v>29</v>
      </c>
      <c r="J9" s="52">
        <v>4</v>
      </c>
      <c r="K9" s="52">
        <v>2</v>
      </c>
      <c r="L9" s="52">
        <v>2</v>
      </c>
      <c r="M9" s="53">
        <v>0</v>
      </c>
      <c r="N9" s="54">
        <v>1.55</v>
      </c>
      <c r="O9" s="55"/>
    </row>
    <row r="10" ht="60" customHeight="1" spans="1:15">
      <c r="A10" s="18" t="s">
        <v>23</v>
      </c>
      <c r="B10" s="19" t="s">
        <v>24</v>
      </c>
      <c r="C10" s="19" t="s">
        <v>25</v>
      </c>
      <c r="D10" s="19" t="s">
        <v>30</v>
      </c>
      <c r="E10" s="18" t="s">
        <v>33</v>
      </c>
      <c r="F10" s="19" t="s">
        <v>31</v>
      </c>
      <c r="G10" s="52">
        <v>2</v>
      </c>
      <c r="H10" s="52">
        <v>4</v>
      </c>
      <c r="I10" s="52">
        <v>5</v>
      </c>
      <c r="J10" s="52">
        <v>3</v>
      </c>
      <c r="K10" s="52">
        <v>0</v>
      </c>
      <c r="L10" s="52">
        <v>4</v>
      </c>
      <c r="M10" s="53">
        <v>0.7</v>
      </c>
      <c r="N10" s="54">
        <v>160</v>
      </c>
      <c r="O10" s="55"/>
    </row>
    <row r="11" ht="60" customHeight="1" spans="1:15">
      <c r="A11" s="18" t="s">
        <v>23</v>
      </c>
      <c r="B11" s="19" t="s">
        <v>24</v>
      </c>
      <c r="C11" s="19" t="s">
        <v>25</v>
      </c>
      <c r="D11" s="18" t="s">
        <v>32</v>
      </c>
      <c r="E11" s="18" t="s">
        <v>33</v>
      </c>
      <c r="F11" s="19" t="s">
        <v>31</v>
      </c>
      <c r="G11" s="52">
        <v>2</v>
      </c>
      <c r="H11" s="52">
        <v>3</v>
      </c>
      <c r="I11" s="52">
        <v>6</v>
      </c>
      <c r="J11" s="52">
        <v>3</v>
      </c>
      <c r="K11" s="52">
        <v>0</v>
      </c>
      <c r="L11" s="52">
        <v>0.5</v>
      </c>
      <c r="M11" s="53">
        <v>-0.1</v>
      </c>
      <c r="N11" s="54">
        <v>164</v>
      </c>
      <c r="O11" s="55"/>
    </row>
    <row r="12" ht="60" customHeight="1" spans="1:15">
      <c r="A12" s="18" t="s">
        <v>23</v>
      </c>
      <c r="B12" s="19" t="s">
        <v>24</v>
      </c>
      <c r="C12" s="19" t="s">
        <v>25</v>
      </c>
      <c r="D12" s="18" t="s">
        <v>26</v>
      </c>
      <c r="E12" s="18" t="s">
        <v>34</v>
      </c>
      <c r="F12" s="19" t="s">
        <v>31</v>
      </c>
      <c r="G12" s="52">
        <v>6</v>
      </c>
      <c r="H12" s="52">
        <v>12</v>
      </c>
      <c r="I12" s="52" t="s">
        <v>29</v>
      </c>
      <c r="J12" s="52">
        <v>5</v>
      </c>
      <c r="K12" s="52">
        <v>1</v>
      </c>
      <c r="L12" s="52">
        <v>2.7</v>
      </c>
      <c r="M12" s="53">
        <v>-0.12</v>
      </c>
      <c r="N12" s="54">
        <v>1.36</v>
      </c>
      <c r="O12" s="55"/>
    </row>
    <row r="13" ht="60" customHeight="1" spans="1:15">
      <c r="A13" s="18" t="s">
        <v>23</v>
      </c>
      <c r="B13" s="19" t="s">
        <v>24</v>
      </c>
      <c r="C13" s="19" t="s">
        <v>25</v>
      </c>
      <c r="D13" s="19" t="s">
        <v>30</v>
      </c>
      <c r="E13" s="18" t="s">
        <v>34</v>
      </c>
      <c r="F13" s="19" t="s">
        <v>31</v>
      </c>
      <c r="G13" s="52">
        <v>2</v>
      </c>
      <c r="H13" s="52">
        <v>3</v>
      </c>
      <c r="I13" s="52">
        <v>5</v>
      </c>
      <c r="J13" s="52">
        <v>6</v>
      </c>
      <c r="K13" s="52">
        <v>0</v>
      </c>
      <c r="L13" s="52">
        <v>4</v>
      </c>
      <c r="M13" s="53">
        <v>0.27</v>
      </c>
      <c r="N13" s="54">
        <v>169.4</v>
      </c>
      <c r="O13" s="55"/>
    </row>
    <row r="14" ht="60" customHeight="1" spans="1:15">
      <c r="A14" s="18" t="s">
        <v>23</v>
      </c>
      <c r="B14" s="19" t="s">
        <v>24</v>
      </c>
      <c r="C14" s="19" t="s">
        <v>25</v>
      </c>
      <c r="D14" s="18" t="s">
        <v>32</v>
      </c>
      <c r="E14" s="18" t="s">
        <v>34</v>
      </c>
      <c r="F14" s="19" t="s">
        <v>31</v>
      </c>
      <c r="G14" s="52">
        <v>2</v>
      </c>
      <c r="H14" s="52">
        <v>3</v>
      </c>
      <c r="I14" s="52">
        <v>6</v>
      </c>
      <c r="J14" s="52">
        <v>3</v>
      </c>
      <c r="K14" s="52">
        <v>0</v>
      </c>
      <c r="L14" s="52">
        <v>0.5</v>
      </c>
      <c r="M14" s="53">
        <v>-0.4</v>
      </c>
      <c r="N14" s="54">
        <v>162.3</v>
      </c>
      <c r="O14" s="55"/>
    </row>
    <row r="15" ht="60" customHeight="1" spans="1:15">
      <c r="A15" s="18" t="s">
        <v>23</v>
      </c>
      <c r="B15" s="19" t="s">
        <v>24</v>
      </c>
      <c r="C15" s="19" t="s">
        <v>25</v>
      </c>
      <c r="D15" s="18" t="s">
        <v>26</v>
      </c>
      <c r="E15" s="18" t="s">
        <v>35</v>
      </c>
      <c r="F15" s="19" t="s">
        <v>31</v>
      </c>
      <c r="G15" s="52">
        <v>6</v>
      </c>
      <c r="H15" s="52">
        <v>12</v>
      </c>
      <c r="I15" s="52" t="s">
        <v>29</v>
      </c>
      <c r="J15" s="52">
        <v>5</v>
      </c>
      <c r="K15" s="52">
        <v>1</v>
      </c>
      <c r="L15" s="52">
        <v>2.7</v>
      </c>
      <c r="M15" s="53">
        <v>-0.3</v>
      </c>
      <c r="N15" s="54">
        <v>1.323</v>
      </c>
      <c r="O15" s="55"/>
    </row>
    <row r="16" ht="60" customHeight="1" spans="1:15">
      <c r="A16" s="18" t="s">
        <v>23</v>
      </c>
      <c r="B16" s="19" t="s">
        <v>24</v>
      </c>
      <c r="C16" s="19" t="s">
        <v>25</v>
      </c>
      <c r="D16" s="19" t="s">
        <v>30</v>
      </c>
      <c r="E16" s="18" t="s">
        <v>35</v>
      </c>
      <c r="F16" s="19" t="s">
        <v>31</v>
      </c>
      <c r="G16" s="52">
        <v>2</v>
      </c>
      <c r="H16" s="52">
        <v>4</v>
      </c>
      <c r="I16" s="52">
        <v>7</v>
      </c>
      <c r="J16" s="52">
        <v>6</v>
      </c>
      <c r="K16" s="52">
        <v>0</v>
      </c>
      <c r="L16" s="52">
        <v>4</v>
      </c>
      <c r="M16" s="53">
        <v>0.5</v>
      </c>
      <c r="N16" s="54">
        <v>181.1</v>
      </c>
      <c r="O16" s="55"/>
    </row>
    <row r="17" ht="60" customHeight="1" spans="1:15">
      <c r="A17" s="18" t="s">
        <v>23</v>
      </c>
      <c r="B17" s="19" t="s">
        <v>24</v>
      </c>
      <c r="C17" s="19" t="s">
        <v>25</v>
      </c>
      <c r="D17" s="18" t="s">
        <v>32</v>
      </c>
      <c r="E17" s="18" t="s">
        <v>35</v>
      </c>
      <c r="F17" s="19" t="s">
        <v>31</v>
      </c>
      <c r="G17" s="52">
        <v>2</v>
      </c>
      <c r="H17" s="52">
        <v>3</v>
      </c>
      <c r="I17" s="52">
        <v>6</v>
      </c>
      <c r="J17" s="52">
        <v>3</v>
      </c>
      <c r="K17" s="52">
        <v>0</v>
      </c>
      <c r="L17" s="52">
        <v>0.5</v>
      </c>
      <c r="M17" s="53">
        <v>-0.4</v>
      </c>
      <c r="N17" s="54">
        <v>163</v>
      </c>
      <c r="O17" s="55"/>
    </row>
  </sheetData>
  <mergeCells count="3">
    <mergeCell ref="A2:L2"/>
    <mergeCell ref="A4:I4"/>
    <mergeCell ref="K4:L4"/>
  </mergeCells>
  <printOptions horizontalCentered="1"/>
  <pageMargins left="0.393700787401575" right="0.393700787401575" top="1.14173228346457" bottom="0.196850393700787" header="0.31496062992126" footer="0.31496062992126"/>
  <pageSetup paperSize="9" scale="49" fitToHeight="0" orientation="landscape"/>
  <headerFooter scaleWithDoc="0"/>
  <rowBreaks count="1" manualBreakCount="1">
    <brk id="17" max="12" man="1"/>
  </rowBreaks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O12"/>
  <sheetViews>
    <sheetView zoomScale="80" zoomScaleNormal="80" workbookViewId="0">
      <selection activeCell="I11" sqref="I11"/>
    </sheetView>
  </sheetViews>
  <sheetFormatPr defaultColWidth="9" defaultRowHeight="14"/>
  <cols>
    <col min="1" max="6" width="18.625" style="2" customWidth="1"/>
    <col min="7" max="8" width="18.625" style="3" customWidth="1"/>
    <col min="9" max="14" width="18.625" style="2" customWidth="1"/>
    <col min="15" max="16384" width="9" style="2"/>
  </cols>
  <sheetData>
    <row r="2" ht="60" customHeight="1" spans="1:15">
      <c r="A2" s="4" t="s">
        <v>36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30" customHeight="1" spans="1:15">
      <c r="A3" s="5" t="s">
        <v>37</v>
      </c>
      <c r="B3" s="6" t="str">
        <f>'密封试验参数汇总表AF070 '!B3</f>
        <v>PFEP</v>
      </c>
      <c r="C3" s="7"/>
      <c r="D3" s="8" t="s">
        <v>3</v>
      </c>
      <c r="E3" s="6" t="str">
        <f>'密封试验参数汇总表AF070 '!E3</f>
        <v>ZK</v>
      </c>
      <c r="F3" s="1"/>
      <c r="G3" s="9" t="s">
        <v>5</v>
      </c>
      <c r="H3" s="10" t="str">
        <f>'密封试验参数汇总表AF070 '!H3</f>
        <v>王勇</v>
      </c>
      <c r="I3" s="9"/>
      <c r="J3" s="11" t="s">
        <v>7</v>
      </c>
      <c r="K3" s="10" t="str">
        <f>'密封试验参数汇总表AF070 '!K3</f>
        <v>2026-5-15</v>
      </c>
      <c r="L3" s="12"/>
      <c r="M3" s="12"/>
      <c r="N3" s="1"/>
    </row>
    <row r="4" ht="30" customHeight="1" spans="1:15">
      <c r="A4" s="13"/>
      <c r="B4" s="13"/>
      <c r="C4" s="13"/>
      <c r="D4" s="13"/>
      <c r="E4" s="13"/>
      <c r="F4" s="13"/>
      <c r="G4" s="13"/>
      <c r="H4" s="13"/>
      <c r="I4" s="13"/>
      <c r="J4" s="14"/>
      <c r="K4" s="15"/>
      <c r="L4" s="15"/>
      <c r="M4" s="15"/>
    </row>
    <row r="5" ht="60" customHeight="1" spans="1:15">
      <c r="A5" s="30" t="s">
        <v>9</v>
      </c>
      <c r="B5" s="31" t="s">
        <v>10</v>
      </c>
      <c r="C5" s="31" t="s">
        <v>11</v>
      </c>
      <c r="D5" s="31" t="s">
        <v>13</v>
      </c>
      <c r="E5" s="31" t="s">
        <v>12</v>
      </c>
      <c r="F5" s="31" t="s">
        <v>14</v>
      </c>
      <c r="G5" s="31" t="s">
        <v>15</v>
      </c>
      <c r="H5" s="31" t="s">
        <v>16</v>
      </c>
      <c r="I5" s="31" t="s">
        <v>38</v>
      </c>
      <c r="J5" s="31" t="s">
        <v>39</v>
      </c>
      <c r="K5" s="31" t="s">
        <v>40</v>
      </c>
      <c r="L5" s="31" t="s">
        <v>20</v>
      </c>
      <c r="M5" s="32" t="s">
        <v>41</v>
      </c>
      <c r="N5" s="33" t="s">
        <v>22</v>
      </c>
      <c r="O5" s="34"/>
    </row>
    <row r="6" ht="60" customHeight="1" spans="1:15">
      <c r="A6" s="35" t="s">
        <v>42</v>
      </c>
      <c r="B6" s="19" t="s">
        <v>43</v>
      </c>
      <c r="C6" s="19" t="s">
        <v>25</v>
      </c>
      <c r="D6" s="18" t="s">
        <v>44</v>
      </c>
      <c r="E6" s="20" t="s">
        <v>45</v>
      </c>
      <c r="F6" s="19" t="s">
        <v>46</v>
      </c>
      <c r="G6" s="21">
        <v>1.5</v>
      </c>
      <c r="H6" s="21">
        <v>2.5</v>
      </c>
      <c r="I6" s="21">
        <v>2</v>
      </c>
      <c r="J6" s="21">
        <v>6</v>
      </c>
      <c r="K6" s="22">
        <v>0</v>
      </c>
      <c r="L6" s="23">
        <v>4</v>
      </c>
      <c r="M6" s="36">
        <v>0</v>
      </c>
      <c r="N6" s="37">
        <v>28</v>
      </c>
    </row>
    <row r="7" ht="60" customHeight="1" spans="1:15">
      <c r="A7" s="35" t="s">
        <v>42</v>
      </c>
      <c r="B7" s="19" t="s">
        <v>43</v>
      </c>
      <c r="C7" s="19" t="s">
        <v>25</v>
      </c>
      <c r="D7" s="18" t="s">
        <v>44</v>
      </c>
      <c r="E7" s="20" t="s">
        <v>47</v>
      </c>
      <c r="F7" s="19" t="s">
        <v>46</v>
      </c>
      <c r="G7" s="21">
        <v>1.5</v>
      </c>
      <c r="H7" s="21">
        <v>2.5</v>
      </c>
      <c r="I7" s="21">
        <v>2</v>
      </c>
      <c r="J7" s="21">
        <v>6</v>
      </c>
      <c r="K7" s="22">
        <v>0</v>
      </c>
      <c r="L7" s="23">
        <v>4</v>
      </c>
      <c r="M7" s="36">
        <v>0</v>
      </c>
      <c r="N7" s="37">
        <v>28</v>
      </c>
    </row>
    <row r="8" ht="60" customHeight="1" spans="1:15">
      <c r="A8" s="35" t="s">
        <v>42</v>
      </c>
      <c r="B8" s="19" t="s">
        <v>43</v>
      </c>
      <c r="C8" s="19" t="s">
        <v>25</v>
      </c>
      <c r="D8" s="18" t="s">
        <v>44</v>
      </c>
      <c r="E8" s="20" t="s">
        <v>48</v>
      </c>
      <c r="F8" s="19" t="s">
        <v>46</v>
      </c>
      <c r="G8" s="21">
        <v>1.5</v>
      </c>
      <c r="H8" s="21">
        <v>2.5</v>
      </c>
      <c r="I8" s="21">
        <v>2</v>
      </c>
      <c r="J8" s="21">
        <v>6</v>
      </c>
      <c r="K8" s="22">
        <v>0</v>
      </c>
      <c r="L8" s="23">
        <v>4</v>
      </c>
      <c r="M8" s="36">
        <v>0</v>
      </c>
      <c r="N8" s="37">
        <v>28</v>
      </c>
    </row>
    <row r="9" ht="60" customHeight="1" spans="1:15">
      <c r="A9" s="38" t="s">
        <v>42</v>
      </c>
      <c r="B9" s="39" t="s">
        <v>43</v>
      </c>
      <c r="C9" s="39" t="s">
        <v>25</v>
      </c>
      <c r="D9" s="40" t="s">
        <v>44</v>
      </c>
      <c r="E9" s="41" t="s">
        <v>49</v>
      </c>
      <c r="F9" s="39" t="s">
        <v>46</v>
      </c>
      <c r="G9" s="42">
        <v>1.5</v>
      </c>
      <c r="H9" s="42">
        <v>2.5</v>
      </c>
      <c r="I9" s="42">
        <v>2</v>
      </c>
      <c r="J9" s="42">
        <v>6</v>
      </c>
      <c r="K9" s="43">
        <v>0</v>
      </c>
      <c r="L9" s="44">
        <v>4</v>
      </c>
      <c r="M9" s="45">
        <v>0</v>
      </c>
      <c r="N9" s="46">
        <v>28</v>
      </c>
    </row>
    <row r="10" ht="65.25" customHeight="1" spans="1:15">
      <c r="A10" s="24"/>
      <c r="B10" s="25"/>
      <c r="C10" s="25"/>
      <c r="D10" s="25"/>
      <c r="E10" s="26"/>
      <c r="F10" s="27"/>
      <c r="G10" s="27"/>
      <c r="H10" s="28"/>
      <c r="I10" s="28"/>
      <c r="J10" s="28"/>
      <c r="K10" s="28"/>
      <c r="L10" s="28"/>
      <c r="M10" s="28"/>
      <c r="N10" s="29"/>
    </row>
    <row r="11" ht="65.25" customHeight="1" spans="1:15">
      <c r="A11" s="24"/>
      <c r="B11" s="25"/>
      <c r="C11" s="25"/>
      <c r="D11" s="25"/>
      <c r="E11" s="26"/>
      <c r="F11" s="27"/>
      <c r="G11" s="27"/>
      <c r="H11" s="28"/>
      <c r="I11" s="28"/>
      <c r="J11" s="28"/>
      <c r="K11" s="28"/>
      <c r="L11" s="28"/>
      <c r="M11" s="28"/>
      <c r="N11" s="29"/>
    </row>
    <row r="12" ht="65.25" customHeight="1" spans="1:15">
      <c r="A12" s="24"/>
      <c r="B12" s="25"/>
      <c r="C12" s="25"/>
      <c r="D12" s="25"/>
      <c r="E12" s="26"/>
      <c r="F12" s="27"/>
      <c r="G12" s="27"/>
      <c r="H12" s="28"/>
      <c r="I12" s="28"/>
      <c r="J12" s="28"/>
      <c r="K12" s="28"/>
      <c r="L12" s="28"/>
      <c r="M12" s="28"/>
      <c r="N12" s="29"/>
    </row>
  </sheetData>
  <autoFilter xmlns:etc="http://www.wps.cn/officeDocument/2017/etCustomData" ref="A5:O9" etc:filterBottomFollowUsedRange="0">
    <sortState ref="A5:O9">
      <sortCondition ref="D5:D9" descending="1"/>
    </sortState>
    <extLst/>
  </autoFilter>
  <mergeCells count="3">
    <mergeCell ref="A2:L2"/>
    <mergeCell ref="A4:I4"/>
    <mergeCell ref="K4:L4"/>
  </mergeCells>
  <printOptions horizontalCentered="1"/>
  <pageMargins left="0.393700787401575" right="0.393700787401575" top="1.14173228346457" bottom="0.196850393700787" header="0.31496062992126" footer="0.31496062992126"/>
  <pageSetup paperSize="9" scale="49" fitToHeight="0" orientation="landscape"/>
  <headerFooter scaleWithDoc="0">
    <oddHeader>&amp;L&amp;G&amp;R&amp;G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N11"/>
  <sheetViews>
    <sheetView tabSelected="1" view="pageBreakPreview" zoomScale="60" zoomScaleNormal="80" workbookViewId="0">
      <selection activeCell="J8" sqref="J8"/>
    </sheetView>
  </sheetViews>
  <sheetFormatPr defaultColWidth="9" defaultRowHeight="14"/>
  <cols>
    <col min="1" max="6" width="18.625" style="2" customWidth="1"/>
    <col min="7" max="8" width="18.625" style="3" customWidth="1"/>
    <col min="9" max="14" width="18.625" style="2" customWidth="1"/>
    <col min="15" max="16384" width="9" style="2"/>
  </cols>
  <sheetData>
    <row r="2" ht="60" customHeight="1" spans="1:14">
      <c r="A2" s="4" t="s">
        <v>50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="1" customFormat="1" ht="30" customHeight="1" spans="1:14">
      <c r="A3" s="5" t="s">
        <v>37</v>
      </c>
      <c r="B3" s="6" t="str">
        <f>'密封试验参数汇总表AF070 '!B3</f>
        <v>PFEP</v>
      </c>
      <c r="C3" s="7"/>
      <c r="D3" s="8" t="s">
        <v>3</v>
      </c>
      <c r="E3" s="6" t="str">
        <f>'密封试验参数汇总表AF070 '!E3</f>
        <v>ZK</v>
      </c>
      <c r="G3" s="9" t="s">
        <v>5</v>
      </c>
      <c r="H3" s="10" t="str">
        <f>'密封试验参数汇总表AF070 '!H3</f>
        <v>王勇</v>
      </c>
      <c r="I3" s="9"/>
      <c r="J3" s="11" t="s">
        <v>7</v>
      </c>
      <c r="K3" s="10" t="str">
        <f>'密封试验参数汇总表AF070 '!K3</f>
        <v>2026-5-15</v>
      </c>
      <c r="L3" s="12"/>
      <c r="M3" s="12"/>
    </row>
    <row r="4" ht="30" customHeight="1" spans="1:14">
      <c r="A4" s="13"/>
      <c r="B4" s="13"/>
      <c r="C4" s="13"/>
      <c r="D4" s="13"/>
      <c r="E4" s="13"/>
      <c r="F4" s="13"/>
      <c r="G4" s="13"/>
      <c r="H4" s="13"/>
      <c r="I4" s="13"/>
      <c r="J4" s="14"/>
      <c r="K4" s="15"/>
      <c r="L4" s="15"/>
      <c r="M4" s="15"/>
    </row>
    <row r="5" ht="60" customHeight="1" spans="1:14">
      <c r="A5" s="16" t="s">
        <v>9</v>
      </c>
      <c r="B5" s="16" t="s">
        <v>10</v>
      </c>
      <c r="C5" s="16" t="s">
        <v>11</v>
      </c>
      <c r="D5" s="16" t="s">
        <v>13</v>
      </c>
      <c r="E5" s="16" t="s">
        <v>12</v>
      </c>
      <c r="F5" s="16" t="s">
        <v>14</v>
      </c>
      <c r="G5" s="16" t="s">
        <v>15</v>
      </c>
      <c r="H5" s="16" t="s">
        <v>16</v>
      </c>
      <c r="I5" s="16" t="s">
        <v>38</v>
      </c>
      <c r="J5" s="16" t="s">
        <v>39</v>
      </c>
      <c r="K5" s="16" t="s">
        <v>40</v>
      </c>
      <c r="L5" s="16" t="s">
        <v>20</v>
      </c>
      <c r="M5" s="17" t="s">
        <v>41</v>
      </c>
      <c r="N5" s="16" t="s">
        <v>22</v>
      </c>
    </row>
    <row r="6" ht="60" customHeight="1" spans="1:14">
      <c r="A6" s="18" t="s">
        <v>51</v>
      </c>
      <c r="B6" s="19" t="s">
        <v>43</v>
      </c>
      <c r="C6" s="19" t="s">
        <v>25</v>
      </c>
      <c r="D6" s="19" t="s">
        <v>27</v>
      </c>
      <c r="E6" s="20" t="s">
        <v>52</v>
      </c>
      <c r="F6" s="19" t="s">
        <v>31</v>
      </c>
      <c r="G6" s="21">
        <v>1.5</v>
      </c>
      <c r="H6" s="21">
        <v>2</v>
      </c>
      <c r="I6" s="21">
        <v>2</v>
      </c>
      <c r="J6" s="21">
        <v>6</v>
      </c>
      <c r="K6" s="22">
        <v>1</v>
      </c>
      <c r="L6" s="23">
        <v>4</v>
      </c>
      <c r="M6" s="21">
        <v>0.5</v>
      </c>
      <c r="N6" s="21">
        <v>65</v>
      </c>
    </row>
    <row r="7" ht="60" customHeight="1" spans="1:14">
      <c r="A7" s="18" t="s">
        <v>51</v>
      </c>
      <c r="B7" s="19" t="s">
        <v>43</v>
      </c>
      <c r="C7" s="19" t="s">
        <v>25</v>
      </c>
      <c r="D7" s="19" t="s">
        <v>53</v>
      </c>
      <c r="E7" s="20" t="s">
        <v>54</v>
      </c>
      <c r="F7" s="18" t="s">
        <v>55</v>
      </c>
      <c r="G7" s="21">
        <v>1.5</v>
      </c>
      <c r="H7" s="21">
        <v>2</v>
      </c>
      <c r="I7" s="21">
        <v>2</v>
      </c>
      <c r="J7" s="21">
        <v>6</v>
      </c>
      <c r="K7" s="22">
        <v>1</v>
      </c>
      <c r="L7" s="23">
        <v>2</v>
      </c>
      <c r="M7" s="21">
        <v>0</v>
      </c>
      <c r="N7" s="21">
        <v>60</v>
      </c>
    </row>
    <row r="8" ht="60" customHeight="1" spans="1:14">
      <c r="A8" s="18" t="s">
        <v>51</v>
      </c>
      <c r="B8" s="19" t="s">
        <v>43</v>
      </c>
      <c r="C8" s="19" t="s">
        <v>25</v>
      </c>
      <c r="D8" s="19" t="s">
        <v>27</v>
      </c>
      <c r="E8" s="20" t="s">
        <v>56</v>
      </c>
      <c r="F8" s="18" t="s">
        <v>57</v>
      </c>
      <c r="G8" s="21">
        <v>1.5</v>
      </c>
      <c r="H8" s="21">
        <v>2</v>
      </c>
      <c r="I8" s="21">
        <v>2</v>
      </c>
      <c r="J8" s="21">
        <v>6</v>
      </c>
      <c r="K8" s="22">
        <v>1</v>
      </c>
      <c r="L8" s="23">
        <v>2</v>
      </c>
      <c r="M8" s="21">
        <v>0.1</v>
      </c>
      <c r="N8" s="21">
        <v>65</v>
      </c>
    </row>
    <row r="9" ht="65.25" customHeight="1" spans="1:14">
      <c r="A9" s="24"/>
      <c r="B9" s="25"/>
      <c r="C9" s="25"/>
      <c r="D9" s="25"/>
      <c r="E9" s="26"/>
      <c r="F9" s="27"/>
      <c r="G9" s="27"/>
      <c r="H9" s="28"/>
      <c r="I9" s="28"/>
      <c r="J9" s="28"/>
      <c r="K9" s="28"/>
      <c r="L9" s="28"/>
      <c r="M9" s="28"/>
      <c r="N9" s="29"/>
    </row>
    <row r="10" ht="65.25" customHeight="1" spans="1:14">
      <c r="A10" s="24"/>
      <c r="B10" s="25"/>
      <c r="C10" s="25"/>
      <c r="D10" s="25"/>
      <c r="E10" s="26"/>
      <c r="F10" s="27"/>
      <c r="G10" s="27"/>
      <c r="H10" s="28"/>
      <c r="I10" s="28"/>
      <c r="J10" s="28"/>
      <c r="K10" s="28"/>
      <c r="L10" s="28"/>
      <c r="M10" s="28"/>
      <c r="N10" s="29"/>
    </row>
    <row r="11" ht="65.25" customHeight="1" spans="1:14">
      <c r="A11" s="24"/>
      <c r="B11" s="25"/>
      <c r="C11" s="25"/>
      <c r="D11" s="25"/>
      <c r="E11" s="26"/>
      <c r="F11" s="27"/>
      <c r="G11" s="27"/>
      <c r="H11" s="28"/>
      <c r="I11" s="28"/>
      <c r="J11" s="28"/>
      <c r="K11" s="28"/>
      <c r="L11" s="28"/>
      <c r="M11" s="28"/>
      <c r="N11" s="29"/>
    </row>
  </sheetData>
  <autoFilter xmlns:etc="http://www.wps.cn/officeDocument/2017/etCustomData" ref="A5:N8" etc:filterBottomFollowUsedRange="0">
    <sortState ref="A5:N8">
      <sortCondition ref="D5:D8" descending="1"/>
    </sortState>
    <extLst/>
  </autoFilter>
  <mergeCells count="3">
    <mergeCell ref="A2:L2"/>
    <mergeCell ref="A4:I4"/>
    <mergeCell ref="K4:L4"/>
  </mergeCells>
  <printOptions horizontalCentered="1"/>
  <pageMargins left="0.393700787401575" right="0.393700787401575" top="1.14173228346457" bottom="0.196850393700787" header="0.31496062992126" footer="0.31496062992126"/>
  <pageSetup paperSize="9" scale="49" fitToHeight="0" orientation="landscape"/>
  <headerFooter scaleWithDoc="0">
    <oddHeader>&amp;L&amp;G&amp;R&amp;G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密封试验参数汇总表AF070 </vt:lpstr>
      <vt:lpstr>密封试验参数汇总表AF245</vt:lpstr>
      <vt:lpstr>密封试验参数汇总表AF240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cywmnn</dc:creator>
  <cp:lastModifiedBy>徐成</cp:lastModifiedBy>
  <dcterms:created xsi:type="dcterms:W3CDTF">2013-10-10T03:42:00Z</dcterms:created>
  <cp:lastPrinted>2026-06-16T05:08:00Z</cp:lastPrinted>
  <dcterms:modified xsi:type="dcterms:W3CDTF">2026-07-06T08:49:47Z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890DC79870294982BCC31040A9D5A4CD_13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